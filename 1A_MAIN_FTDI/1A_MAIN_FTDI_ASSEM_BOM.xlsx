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dia/image1.jpeg" ContentType="image/jpeg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<sst xmlns="http://schemas.openxmlformats.org/spreadsheetml/2006/main" count="382" uniqueCount="222">
  <si>
    <t xml:space="preserve">xxxx xxxx xxxxx xxPCS BOM  (Sample Bill of Materials)</t>
  </si>
  <si>
    <t xml:space="preserve">Item #</t>
  </si>
  <si>
    <r>
      <rPr>
        <b val="true"/>
        <sz val="10"/>
        <color rgb="FFFF0000"/>
        <rFont val="Arial"/>
        <family val="2"/>
      </rPr>
      <t xml:space="preserve">*</t>
    </r>
    <r>
      <rPr>
        <b val="true"/>
        <sz val="10"/>
        <rFont val="Arial"/>
        <family val="2"/>
      </rPr>
      <t xml:space="preserve">Ref Des</t>
    </r>
  </si>
  <si>
    <r>
      <rPr>
        <b val="true"/>
        <sz val="10"/>
        <color rgb="FFFF0000"/>
        <rFont val="Arial"/>
        <family val="2"/>
      </rPr>
      <t xml:space="preserve">*</t>
    </r>
    <r>
      <rPr>
        <b val="true"/>
        <sz val="10"/>
        <rFont val="Arial"/>
        <family val="2"/>
      </rPr>
      <t xml:space="preserve">Qty</t>
    </r>
  </si>
  <si>
    <t xml:space="preserve">Manufacturer</t>
  </si>
  <si>
    <r>
      <rPr>
        <b val="true"/>
        <sz val="10"/>
        <color rgb="FFFF0000"/>
        <rFont val="Arial"/>
        <family val="2"/>
      </rPr>
      <t xml:space="preserve">*</t>
    </r>
    <r>
      <rPr>
        <b val="true"/>
        <sz val="10"/>
        <rFont val="Arial"/>
        <family val="2"/>
      </rPr>
      <t xml:space="preserve">Mfg Part #</t>
    </r>
  </si>
  <si>
    <t xml:space="preserve">Description / Value</t>
  </si>
  <si>
    <r>
      <rPr>
        <b val="true"/>
        <sz val="10"/>
        <color rgb="FFFF0000"/>
        <rFont val="Arial"/>
        <family val="2"/>
      </rPr>
      <t xml:space="preserve">*</t>
    </r>
    <r>
      <rPr>
        <b val="true"/>
        <sz val="10"/>
        <rFont val="Arial"/>
        <family val="2"/>
      </rPr>
      <t xml:space="preserve">Package</t>
    </r>
  </si>
  <si>
    <t xml:space="preserve">Type</t>
  </si>
  <si>
    <t xml:space="preserve">Your Instructions / Notes</t>
  </si>
  <si>
    <t xml:space="preserve">U1</t>
  </si>
  <si>
    <t xml:space="preserve">Linear</t>
  </si>
  <si>
    <t xml:space="preserve">LTC3780EG#PBF</t>
  </si>
  <si>
    <t xml:space="preserve">IC BUCK-BOOST CONV 24-SSOP</t>
  </si>
  <si>
    <t xml:space="preserve">24-SSOP</t>
  </si>
  <si>
    <t xml:space="preserve">SMD</t>
  </si>
  <si>
    <t xml:space="preserve">U2,U4</t>
  </si>
  <si>
    <t xml:space="preserve">Fairchild</t>
  </si>
  <si>
    <t xml:space="preserve">LM2904M</t>
  </si>
  <si>
    <t xml:space="preserve">IC OPAMP DUAL -40-85 C 8-SOIC</t>
  </si>
  <si>
    <t xml:space="preserve">8-SOIC</t>
  </si>
  <si>
    <t xml:space="preserve">DNS</t>
  </si>
  <si>
    <t xml:space="preserve">U3</t>
  </si>
  <si>
    <t xml:space="preserve">ON</t>
  </si>
  <si>
    <t xml:space="preserve">LM317MBDTG</t>
  </si>
  <si>
    <t xml:space="preserve">LM317M IC REG VOLT ADJ 500MA DPAK</t>
  </si>
  <si>
    <t xml:space="preserve">DPAK</t>
  </si>
  <si>
    <t xml:space="preserve">U5</t>
  </si>
  <si>
    <t xml:space="preserve">Microchip</t>
  </si>
  <si>
    <t xml:space="preserve">PIC16F690-I/SS</t>
  </si>
  <si>
    <t xml:space="preserve">IC PIC MCU FLASH 4KX14 20SSOP</t>
  </si>
  <si>
    <t xml:space="preserve">20SSOP</t>
  </si>
  <si>
    <t xml:space="preserve">Q1</t>
  </si>
  <si>
    <t xml:space="preserve">Diodes Inc</t>
  </si>
  <si>
    <t xml:space="preserve">GBJ10005-F</t>
  </si>
  <si>
    <t xml:space="preserve">RECT BRIDGE GPP 50V 10A GBJ</t>
  </si>
  <si>
    <t xml:space="preserve">GBJ</t>
  </si>
  <si>
    <t xml:space="preserve">R14,R18</t>
  </si>
  <si>
    <t xml:space="preserve">Panasonic</t>
  </si>
  <si>
    <t xml:space="preserve">ERJ-6ENF4701V</t>
  </si>
  <si>
    <t xml:space="preserve">RES 4.70K OHM 1/8W 1% 0805 SMD</t>
  </si>
  <si>
    <t xml:space="preserve">0805</t>
  </si>
  <si>
    <t xml:space="preserve">R15</t>
  </si>
  <si>
    <t xml:space="preserve">Susumu</t>
  </si>
  <si>
    <t xml:space="preserve">RL3720WT-R022-F</t>
  </si>
  <si>
    <t xml:space="preserve">RES .022 OHM 1W 1% 0815 SMD</t>
  </si>
  <si>
    <t xml:space="preserve">0815</t>
  </si>
  <si>
    <t xml:space="preserve">R16, R31</t>
  </si>
  <si>
    <t xml:space="preserve">ERJ-6ENF4702V</t>
  </si>
  <si>
    <t xml:space="preserve">RES 47.0K OHM 1/8W 1% 0805 SMD</t>
  </si>
  <si>
    <t xml:space="preserve">C5</t>
  </si>
  <si>
    <t xml:space="preserve">Murata</t>
  </si>
  <si>
    <t xml:space="preserve">GRM21BR71C225KA12L</t>
  </si>
  <si>
    <t xml:space="preserve">CAP CER 2.2UF 16V X7R 0805</t>
  </si>
  <si>
    <t xml:space="preserve">C7</t>
  </si>
  <si>
    <t xml:space="preserve">GRM21BR71C475KA73L</t>
  </si>
  <si>
    <t xml:space="preserve">CAP CER 4.7UF 16V X7R 0805</t>
  </si>
  <si>
    <t xml:space="preserve">C8,C22</t>
  </si>
  <si>
    <t xml:space="preserve">Muruta</t>
  </si>
  <si>
    <t xml:space="preserve">GRM21BR71C105KA01L</t>
  </si>
  <si>
    <t xml:space="preserve">CAP CER 1.0UF 16V 10% X7R 0805</t>
  </si>
  <si>
    <t xml:space="preserve">CN6</t>
  </si>
  <si>
    <t xml:space="preserve">Molex</t>
  </si>
  <si>
    <t xml:space="preserve">538-53398-0671</t>
  </si>
  <si>
    <t xml:space="preserve">1.25mm Connectors VERTICAL HDR SMT 6P</t>
  </si>
  <si>
    <t xml:space="preserve">SMT 6P</t>
  </si>
  <si>
    <t xml:space="preserve">L1,L2</t>
  </si>
  <si>
    <t xml:space="preserve">Coiltronics</t>
  </si>
  <si>
    <t xml:space="preserve">DR127-150-R</t>
  </si>
  <si>
    <t xml:space="preserve">INDUCTOR SHIELD PWR 15UH SMD</t>
  </si>
  <si>
    <t xml:space="preserve">L3</t>
  </si>
  <si>
    <r>
      <rPr>
        <sz val="11"/>
        <color rgb="FF000000"/>
        <rFont val="Arial"/>
        <family val="2"/>
      </rPr>
      <t xml:space="preserve">T</t>
    </r>
    <r>
      <rPr>
        <sz val="10"/>
        <color rgb="FF000000"/>
        <rFont val="Arial"/>
        <family val="2"/>
      </rPr>
      <t xml:space="preserve">DK</t>
    </r>
  </si>
  <si>
    <t xml:space="preserve">ACM1211-102-2PL-TL</t>
  </si>
  <si>
    <t xml:space="preserve">CHOKE COMM MODE 1000 OHM 6A SM</t>
  </si>
  <si>
    <t xml:space="preserve">CN3,CN4</t>
  </si>
  <si>
    <t xml:space="preserve">53047-0510</t>
  </si>
  <si>
    <t xml:space="preserve">CONN HEADER 5POS 1.25MM VERT TIN</t>
  </si>
  <si>
    <t xml:space="preserve">5POS</t>
  </si>
  <si>
    <t xml:space="preserve">thru-hole</t>
  </si>
  <si>
    <t xml:space="preserve">Click for Instructions on How to Create a BOM</t>
  </si>
  <si>
    <t xml:space="preserve">S1</t>
  </si>
  <si>
    <t xml:space="preserve">APEM</t>
  </si>
  <si>
    <t xml:space="preserve">MJTB1236B</t>
  </si>
  <si>
    <t xml:space="preserve">Tactile Switch</t>
  </si>
  <si>
    <t xml:space="preserve">THT</t>
  </si>
  <si>
    <t xml:space="preserve">X4</t>
  </si>
  <si>
    <t xml:space="preserve">any/open</t>
  </si>
  <si>
    <t xml:space="preserve">2x5 Pin shrouded 2,54 mm Header</t>
  </si>
  <si>
    <t xml:space="preserve">C2, C5, C7, C8, C15, C16, C17, C18, C19</t>
  </si>
  <si>
    <t xml:space="preserve">CAP CER 100nF &gt;=50V X7R</t>
  </si>
  <si>
    <t xml:space="preserve">R2</t>
  </si>
  <si>
    <t xml:space="preserve">RES 10,0K OHM 1/8W 1%</t>
  </si>
  <si>
    <t xml:space="preserve">C1, C4</t>
  </si>
  <si>
    <t xml:space="preserve">CAP CER 10nF &gt;=50V X7R</t>
  </si>
  <si>
    <t xml:space="preserve">C3, C13</t>
  </si>
  <si>
    <t xml:space="preserve">CAP CER 10UF &gt;=16V 10% X7R</t>
  </si>
  <si>
    <t xml:space="preserve">R1</t>
  </si>
  <si>
    <t xml:space="preserve">RES 1,0K OHM 1/8W 1%</t>
  </si>
  <si>
    <t xml:space="preserve">C9, C10</t>
  </si>
  <si>
    <t xml:space="preserve">CAP CER 1UF &gt;=25V 10% X7R</t>
  </si>
  <si>
    <t xml:space="preserve">R3, R4, R8, R9</t>
  </si>
  <si>
    <t xml:space="preserve">RES 270 OHM 1/8W 1%</t>
  </si>
  <si>
    <t xml:space="preserve">R5</t>
  </si>
  <si>
    <t xml:space="preserve">RES 1,0M OHM 1/8W 1%</t>
  </si>
  <si>
    <t xml:space="preserve">C6</t>
  </si>
  <si>
    <t xml:space="preserve">CAP CER 4,7UF &gt;=16V 10% X7R</t>
  </si>
  <si>
    <t xml:space="preserve">X3</t>
  </si>
  <si>
    <t xml:space="preserve">AKL 182-04</t>
  </si>
  <si>
    <t xml:space="preserve">AKL182-04</t>
  </si>
  <si>
    <t xml:space="preserve">DC2</t>
  </si>
  <si>
    <t xml:space="preserve">murata</t>
  </si>
  <si>
    <t xml:space="preserve">CRE1S0505S3C</t>
  </si>
  <si>
    <t xml:space="preserve">DC-DC CONVERTER</t>
  </si>
  <si>
    <t xml:space="preserve">IC10</t>
  </si>
  <si>
    <t xml:space="preserve">FTDI</t>
  </si>
  <si>
    <t xml:space="preserve">FT232RL</t>
  </si>
  <si>
    <t xml:space="preserve">USB Uart Converter</t>
  </si>
  <si>
    <t xml:space="preserve">SSOP28</t>
  </si>
  <si>
    <t xml:space="preserve">DC1</t>
  </si>
  <si>
    <t xml:space="preserve">MEANWELL</t>
  </si>
  <si>
    <t xml:space="preserve">SMU02L-12</t>
  </si>
  <si>
    <t xml:space="preserve">Infineon</t>
  </si>
  <si>
    <t xml:space="preserve">IRF7416</t>
  </si>
  <si>
    <t xml:space="preserve">IRF 7416</t>
  </si>
  <si>
    <t xml:space="preserve">SO-08</t>
  </si>
  <si>
    <t xml:space="preserve">IC7, IC8, IC9</t>
  </si>
  <si>
    <t xml:space="preserve">SO16</t>
  </si>
  <si>
    <t xml:space="preserve">IC2</t>
  </si>
  <si>
    <t xml:space="preserve">SOT23</t>
  </si>
  <si>
    <t xml:space="preserve">X2</t>
  </si>
  <si>
    <t xml:space="preserve">USB BWM SMD</t>
  </si>
  <si>
    <t xml:space="preserve">IC1</t>
  </si>
  <si>
    <t xml:space="preserve">NCP 1117 ST33T3G</t>
  </si>
  <si>
    <t xml:space="preserve">SOT223</t>
  </si>
  <si>
    <t xml:space="preserve">LED1</t>
  </si>
  <si>
    <t xml:space="preserve">EVL 19-21SYGC</t>
  </si>
  <si>
    <t xml:space="preserve">0603</t>
  </si>
  <si>
    <t xml:space="preserve">LED2</t>
  </si>
  <si>
    <t xml:space="preserve">LED3</t>
  </si>
  <si>
    <t xml:space="preserve">RND 135-00045</t>
  </si>
  <si>
    <t xml:space="preserve">LED4</t>
  </si>
  <si>
    <t xml:space="preserve">RND 135-00046</t>
  </si>
  <si>
    <t xml:space="preserve">D1</t>
  </si>
  <si>
    <t xml:space="preserve">SOT23-6</t>
  </si>
  <si>
    <t xml:space="preserve">L10</t>
  </si>
  <si>
    <t xml:space="preserve">BLM21PG 300</t>
  </si>
  <si>
    <t xml:space="preserve">BL 2X10W 2,54</t>
  </si>
  <si>
    <t xml:space="preserve">ALLSERIALMM</t>
  </si>
  <si>
    <t xml:space="preserve">AKL 169-04</t>
  </si>
  <si>
    <t xml:space="preserve">MEN 1296.1004</t>
  </si>
  <si>
    <t xml:space="preserve">Qty</t>
  </si>
  <si>
    <t xml:space="preserve">Value</t>
  </si>
  <si>
    <t xml:space="preserve">Device</t>
  </si>
  <si>
    <t xml:space="preserve">Package</t>
  </si>
  <si>
    <t xml:space="preserve">Parts</t>
  </si>
  <si>
    <t xml:space="preserve">Description</t>
  </si>
  <si>
    <t xml:space="preserve">OC_REICHELT</t>
  </si>
  <si>
    <t xml:space="preserve">OC_FARNELL</t>
  </si>
  <si>
    <t xml:space="preserve">PRICE</t>
  </si>
  <si>
    <t xml:space="preserve">PRICE_SUM</t>
  </si>
  <si>
    <t xml:space="preserve">31-XX</t>
  </si>
  <si>
    <t xml:space="preserve">B3F-31XX</t>
  </si>
  <si>
    <t xml:space="preserve">OMRON SWITCH</t>
  </si>
  <si>
    <t xml:space="preserve">TASTER 3305B</t>
  </si>
  <si>
    <t xml:space="preserve">ML10</t>
  </si>
  <si>
    <t xml:space="preserve">HARTING</t>
  </si>
  <si>
    <t xml:space="preserve">WSL 10G</t>
  </si>
  <si>
    <t xml:space="preserve">100n</t>
  </si>
  <si>
    <t xml:space="preserve">C-EUC0805</t>
  </si>
  <si>
    <t xml:space="preserve">C0805</t>
  </si>
  <si>
    <t xml:space="preserve">CAPACITOR, European symbol</t>
  </si>
  <si>
    <t xml:space="preserve">X7R-G0805 100N</t>
  </si>
  <si>
    <t xml:space="preserve">10k</t>
  </si>
  <si>
    <t xml:space="preserve">R-EU_R0805</t>
  </si>
  <si>
    <t xml:space="preserve">R0805</t>
  </si>
  <si>
    <t xml:space="preserve">RESISTOR, European symbol</t>
  </si>
  <si>
    <t xml:space="preserve">SMD-0805 10,0K</t>
  </si>
  <si>
    <t xml:space="preserve">10n</t>
  </si>
  <si>
    <t xml:space="preserve">X7R-G0805 10N</t>
  </si>
  <si>
    <t xml:space="preserve">10µ</t>
  </si>
  <si>
    <t xml:space="preserve">KEM X5R0805 10U</t>
  </si>
  <si>
    <t xml:space="preserve">1k</t>
  </si>
  <si>
    <t xml:space="preserve">SMD-0805 1,00K</t>
  </si>
  <si>
    <t xml:space="preserve">1µ</t>
  </si>
  <si>
    <t xml:space="preserve">X7R-G0805 1,0/25</t>
  </si>
  <si>
    <t xml:space="preserve">SMD-0805 270</t>
  </si>
  <si>
    <t xml:space="preserve">1M</t>
  </si>
  <si>
    <t xml:space="preserve">SMD-0805 1,00M</t>
  </si>
  <si>
    <t xml:space="preserve">4µ7</t>
  </si>
  <si>
    <t xml:space="preserve">Y5V 0805 DC 4,7U</t>
  </si>
  <si>
    <t xml:space="preserve">AKL18X-04W</t>
  </si>
  <si>
    <t xml:space="preserve">Riacon AKL18X Steckverbinder</t>
  </si>
  <si>
    <t xml:space="preserve">NME</t>
  </si>
  <si>
    <t xml:space="preserve">ROM-0505S</t>
  </si>
  <si>
    <t xml:space="preserve">Source: http://www.ftdichip.com/Documents/DataSheets/DS_FT232R_v104.pdf</t>
  </si>
  <si>
    <t xml:space="preserve">FT 232 RL</t>
  </si>
  <si>
    <t xml:space="preserve">IL0512S</t>
  </si>
  <si>
    <t xml:space="preserve">RI-0512S</t>
  </si>
  <si>
    <t xml:space="preserve">P-MOSFET-SO8</t>
  </si>
  <si>
    <t xml:space="preserve">P-Channel MOSFET</t>
  </si>
  <si>
    <t xml:space="preserve">MAX14932</t>
  </si>
  <si>
    <t xml:space="preserve">MCP1700T-1802E</t>
  </si>
  <si>
    <t xml:space="preserve">MCP170X</t>
  </si>
  <si>
    <t xml:space="preserve">MINI-USB-32005-201</t>
  </si>
  <si>
    <t xml:space="preserve">32005-201</t>
  </si>
  <si>
    <t xml:space="preserve">MINI USB-B Conector</t>
  </si>
  <si>
    <t xml:space="preserve">NCP1117-33ST</t>
  </si>
  <si>
    <t xml:space="preserve">PWR</t>
  </si>
  <si>
    <t xml:space="preserve">LEDCHIPLED_0603</t>
  </si>
  <si>
    <t xml:space="preserve">CHIPLED_0603</t>
  </si>
  <si>
    <t xml:space="preserve">LED</t>
  </si>
  <si>
    <t xml:space="preserve">RX</t>
  </si>
  <si>
    <t xml:space="preserve">TX</t>
  </si>
  <si>
    <t xml:space="preserve">TXEN</t>
  </si>
  <si>
    <t xml:space="preserve">USBLC6-2</t>
  </si>
  <si>
    <t xml:space="preserve">WE-TVS_82400102</t>
  </si>
  <si>
    <t xml:space="preserve">WE-TVS_SOT23-6L</t>
  </si>
  <si>
    <t xml:space="preserve">TVS Diode Array WE-TVS, High Speed Series</t>
  </si>
  <si>
    <t xml:space="preserve">WE-CBF_0805</t>
  </si>
  <si>
    <t xml:space="preserve">SMD EMI Suppression Ferrite Beads WE-CBF</t>
  </si>
  <si>
    <t xml:space="preserve">Connector</t>
  </si>
  <si>
    <t xml:space="preserve">Mentor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</si>
</sst>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\ [$€-407];[RED]\-#,##0.00\ [$€-407]"/>
  </numFmts>
  <fonts count="23">
    <font>
      <sz val="11"/>
      <color rgb="FF000000"/>
      <name val="宋体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宋体"/>
      <family val="2"/>
    </font>
    <font>
      <sz val="18"/>
      <color rgb="FF000000"/>
      <name val="宋体"/>
      <family val="2"/>
    </font>
    <font>
      <sz val="12"/>
      <color rgb="FF000000"/>
      <name val="宋体"/>
      <family val="2"/>
    </font>
    <font>
      <sz val="10"/>
      <color rgb="FF333333"/>
      <name val="宋体"/>
      <family val="2"/>
    </font>
    <font>
      <i val="true"/>
      <sz val="10"/>
      <color rgb="FF808080"/>
      <name val="宋体"/>
      <family val="2"/>
    </font>
    <font>
      <sz val="10"/>
      <color rgb="FF006600"/>
      <name val="宋体"/>
      <family val="2"/>
    </font>
    <font>
      <sz val="10"/>
      <color rgb="FF996600"/>
      <name val="宋体"/>
      <family val="2"/>
    </font>
    <font>
      <sz val="10"/>
      <color rgb="FFCC0000"/>
      <name val="宋体"/>
      <family val="2"/>
    </font>
    <font>
      <b val="true"/>
      <sz val="10"/>
      <color rgb="FFFFFFFF"/>
      <name val="宋体"/>
      <family val="2"/>
    </font>
    <font>
      <b val="true"/>
      <sz val="10"/>
      <color rgb="FF000000"/>
      <name val="宋体"/>
      <family val="2"/>
    </font>
    <font>
      <sz val="10"/>
      <color rgb="FFFFFFFF"/>
      <name val="宋体"/>
      <family val="2"/>
    </font>
    <font>
      <sz val="11"/>
      <color rgb="FF000000"/>
      <name val="Arial"/>
      <family val="2"/>
    </font>
    <font>
      <b val="true"/>
      <sz val="11"/>
      <color rgb="FF000000"/>
      <name val="Arial"/>
      <family val="2"/>
    </font>
    <font>
      <b val="true"/>
      <sz val="10"/>
      <name val="Arial"/>
      <family val="2"/>
    </font>
    <font>
      <b val="true"/>
      <sz val="10"/>
      <color rgb="FFFF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 val="single"/>
      <sz val="11"/>
      <color rgb="FF0000FF"/>
      <name val="宋体"/>
      <family val="0"/>
    </font>
    <font>
      <b val="true"/>
      <sz val="11"/>
      <color rgb="FF000000"/>
      <name val="宋体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FF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BFBFBF"/>
        <bgColor rgb="FFDDDDDD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37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21" fillId="0" borderId="0" applyFont="true" applyBorder="false" applyAlignment="true" applyProtection="false">
      <alignment horizontal="general" vertical="center" textRotation="0" wrapText="false" indent="0" shrinkToFit="false"/>
    </xf>
    <xf numFmtId="164" fontId="4" fillId="0" borderId="0" applyFont="true" applyBorder="false" applyAlignment="true" applyProtection="false">
      <alignment horizontal="general" vertical="center" textRotation="0" wrapText="false" indent="0" shrinkToFit="false"/>
    </xf>
    <xf numFmtId="164" fontId="5" fillId="0" borderId="0" applyFont="true" applyBorder="false" applyAlignment="true" applyProtection="false">
      <alignment horizontal="general" vertical="center" textRotation="0" wrapText="false" indent="0" shrinkToFit="false"/>
    </xf>
    <xf numFmtId="164" fontId="6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7" fillId="2" borderId="1" applyFont="true" applyBorder="true" applyAlignment="true" applyProtection="false">
      <alignment horizontal="general" vertical="center" textRotation="0" wrapText="false" indent="0" shrinkToFit="false"/>
    </xf>
    <xf numFmtId="164" fontId="8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9" fillId="3" borderId="0" applyFont="true" applyBorder="false" applyAlignment="true" applyProtection="false">
      <alignment horizontal="general" vertical="center" textRotation="0" wrapText="false" indent="0" shrinkToFit="false"/>
    </xf>
    <xf numFmtId="164" fontId="10" fillId="2" borderId="0" applyFont="true" applyBorder="false" applyAlignment="true" applyProtection="false">
      <alignment horizontal="general" vertical="center" textRotation="0" wrapText="false" indent="0" shrinkToFit="false"/>
    </xf>
    <xf numFmtId="164" fontId="11" fillId="4" borderId="0" applyFont="true" applyBorder="false" applyAlignment="true" applyProtection="false">
      <alignment horizontal="general" vertical="center" textRotation="0" wrapText="false" indent="0" shrinkToFit="false"/>
    </xf>
    <xf numFmtId="164" fontId="11" fillId="0" borderId="0" applyFont="true" applyBorder="false" applyAlignment="true" applyProtection="false">
      <alignment horizontal="general" vertical="center" textRotation="0" wrapText="false" indent="0" shrinkToFit="false"/>
    </xf>
    <xf numFmtId="164" fontId="12" fillId="5" borderId="0" applyFont="true" applyBorder="false" applyAlignment="true" applyProtection="false">
      <alignment horizontal="general" vertical="center" textRotation="0" wrapText="false" indent="0" shrinkToFit="false"/>
    </xf>
    <xf numFmtId="164" fontId="13" fillId="0" borderId="0" applyFont="true" applyBorder="false" applyAlignment="true" applyProtection="false">
      <alignment horizontal="general" vertical="center" textRotation="0" wrapText="false" indent="0" shrinkToFit="false"/>
    </xf>
    <xf numFmtId="164" fontId="14" fillId="6" borderId="0" applyFont="true" applyBorder="false" applyAlignment="true" applyProtection="false">
      <alignment horizontal="general" vertical="center" textRotation="0" wrapText="false" indent="0" shrinkToFit="false"/>
    </xf>
    <xf numFmtId="164" fontId="14" fillId="7" borderId="0" applyFont="true" applyBorder="false" applyAlignment="true" applyProtection="false">
      <alignment horizontal="general" vertical="center" textRotation="0" wrapText="false" indent="0" shrinkToFit="false"/>
    </xf>
    <xf numFmtId="164" fontId="13" fillId="8" borderId="0" applyFont="true" applyBorder="false" applyAlignment="true" applyProtection="false">
      <alignment horizontal="general" vertical="center" textRotation="0" wrapText="false" indent="0" shrinkToFit="false"/>
    </xf>
  </cellStyleXfs>
  <cellXfs count="2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1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1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1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9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9" fillId="1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22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23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Heading" xfId="21" builtinId="53" customBuiltin="true"/>
    <cellStyle name="Heading 1" xfId="22" builtinId="53" customBuiltin="true"/>
    <cellStyle name="Heading 2" xfId="23" builtinId="53" customBuiltin="true"/>
    <cellStyle name="Text" xfId="24" builtinId="53" customBuiltin="true"/>
    <cellStyle name="Note" xfId="25" builtinId="53" customBuiltin="true"/>
    <cellStyle name="Footnote" xfId="26" builtinId="53" customBuiltin="true"/>
    <cellStyle name="Status" xfId="27" builtinId="53" customBuiltin="true"/>
    <cellStyle name="Good" xfId="28" builtinId="53" customBuiltin="true"/>
    <cellStyle name="Neutral" xfId="29" builtinId="53" customBuiltin="true"/>
    <cellStyle name="Bad" xfId="30" builtinId="53" customBuiltin="true"/>
    <cellStyle name="Warning" xfId="31" builtinId="53" customBuiltin="true"/>
    <cellStyle name="Error" xfId="32" builtinId="53" customBuiltin="true"/>
    <cellStyle name="Accent" xfId="33" builtinId="53" customBuiltin="true"/>
    <cellStyle name="Accent 1" xfId="34" builtinId="53" customBuiltin="true"/>
    <cellStyle name="Accent 2" xfId="35" builtinId="53" customBuiltin="true"/>
    <cellStyle name="Accent 3" xfId="36" builtinId="53" customBuiltin="true"/>
    <cellStyle name="*unknown*" xfId="20" builtinId="8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9360</xdr:colOff>
      <xdr:row>1</xdr:row>
      <xdr:rowOff>29520</xdr:rowOff>
    </xdr:from>
    <xdr:to>
      <xdr:col>2</xdr:col>
      <xdr:colOff>37800</xdr:colOff>
      <xdr:row>2</xdr:row>
      <xdr:rowOff>157320</xdr:rowOff>
    </xdr:to>
    <xdr:pic>
      <xdr:nvPicPr>
        <xdr:cNvPr id="0" name="图片 1" descr=""/>
        <xdr:cNvPicPr/>
      </xdr:nvPicPr>
      <xdr:blipFill>
        <a:blip r:embed="rId1"/>
        <a:stretch/>
      </xdr:blipFill>
      <xdr:spPr>
        <a:xfrm>
          <a:off x="9360" y="210240"/>
          <a:ext cx="4058640" cy="37548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pcbway.com/blog/PCB_Assembly/How_to_Build_a_BOM__Bill_Of_Materials_.html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J108"/>
  <sheetViews>
    <sheetView showFormulas="false" showGridLines="true" showRowColHeaders="true" showZeros="true" rightToLeft="false" tabSelected="true" showOutlineSymbols="true" defaultGridColor="true" view="normal" topLeftCell="A70" colorId="64" zoomScale="100" zoomScaleNormal="100" zoomScalePageLayoutView="100" workbookViewId="0">
      <selection pane="topLeft" activeCell="C96" activeCellId="0" sqref="C96"/>
    </sheetView>
  </sheetViews>
  <sheetFormatPr defaultRowHeight="14.2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48.71"/>
    <col collapsed="false" customWidth="true" hidden="false" outlineLevel="0" max="3" min="3" style="1" width="16"/>
    <col collapsed="false" customWidth="true" hidden="false" outlineLevel="0" max="4" min="4" style="1" width="21.38"/>
    <col collapsed="false" customWidth="true" hidden="false" outlineLevel="0" max="5" min="5" style="1" width="29.88"/>
    <col collapsed="false" customWidth="true" hidden="false" outlineLevel="0" max="6" min="6" style="1" width="41.62"/>
    <col collapsed="false" customWidth="true" hidden="false" outlineLevel="0" max="7" min="7" style="1" width="22.18"/>
    <col collapsed="false" customWidth="true" hidden="false" outlineLevel="0" max="8" min="8" style="1" width="13.62"/>
    <col collapsed="false" customWidth="true" hidden="false" outlineLevel="0" max="9" min="9" style="1" width="35.62"/>
    <col collapsed="false" customWidth="true" hidden="false" outlineLevel="0" max="1025" min="10" style="1" width="9"/>
  </cols>
  <sheetData>
    <row r="2" customFormat="false" ht="19.5" hidden="false" customHeight="true" outlineLevel="0" collapsed="false">
      <c r="A2" s="2"/>
      <c r="B2" s="2"/>
      <c r="D2" s="3" t="s">
        <v>0</v>
      </c>
      <c r="E2" s="3"/>
      <c r="F2" s="3"/>
    </row>
    <row r="3" customFormat="false" ht="14.25" hidden="false" customHeight="false" outlineLevel="0" collapsed="false">
      <c r="A3" s="2"/>
      <c r="B3" s="2"/>
      <c r="D3" s="3"/>
      <c r="E3" s="3"/>
      <c r="F3" s="3"/>
    </row>
    <row r="4" customFormat="false" ht="14.25" hidden="false" customHeight="false" outlineLevel="0" collapsed="false">
      <c r="D4" s="3"/>
      <c r="E4" s="3"/>
      <c r="F4" s="3"/>
    </row>
    <row r="6" customFormat="false" ht="28.5" hidden="false" customHeight="true" outlineLevel="0" collapsed="false">
      <c r="A6" s="4" t="s">
        <v>1</v>
      </c>
      <c r="B6" s="5" t="s">
        <v>2</v>
      </c>
      <c r="C6" s="5" t="s">
        <v>3</v>
      </c>
      <c r="D6" s="4" t="s">
        <v>4</v>
      </c>
      <c r="E6" s="5" t="s">
        <v>5</v>
      </c>
      <c r="F6" s="4" t="s">
        <v>6</v>
      </c>
      <c r="G6" s="5" t="s">
        <v>7</v>
      </c>
      <c r="H6" s="4" t="s">
        <v>8</v>
      </c>
      <c r="I6" s="4" t="s">
        <v>9</v>
      </c>
    </row>
    <row r="7" customFormat="false" ht="14.25" hidden="false" customHeight="false" outlineLevel="0" collapsed="false">
      <c r="A7" s="6" t="n">
        <v>1</v>
      </c>
      <c r="B7" s="7" t="s">
        <v>10</v>
      </c>
      <c r="C7" s="6" t="n">
        <v>1</v>
      </c>
      <c r="D7" s="7" t="s">
        <v>11</v>
      </c>
      <c r="E7" s="7" t="s">
        <v>12</v>
      </c>
      <c r="F7" s="8" t="s">
        <v>13</v>
      </c>
      <c r="G7" s="8" t="s">
        <v>14</v>
      </c>
      <c r="H7" s="9" t="s">
        <v>15</v>
      </c>
      <c r="I7" s="9"/>
    </row>
    <row r="8" customFormat="false" ht="14.25" hidden="false" customHeight="false" outlineLevel="0" collapsed="false">
      <c r="A8" s="10" t="n">
        <v>2</v>
      </c>
      <c r="B8" s="11" t="s">
        <v>16</v>
      </c>
      <c r="C8" s="10" t="n">
        <v>2</v>
      </c>
      <c r="D8" s="11" t="s">
        <v>17</v>
      </c>
      <c r="E8" s="11" t="s">
        <v>18</v>
      </c>
      <c r="F8" s="12" t="s">
        <v>19</v>
      </c>
      <c r="G8" s="12" t="s">
        <v>20</v>
      </c>
      <c r="H8" s="13" t="s">
        <v>21</v>
      </c>
      <c r="I8" s="13"/>
    </row>
    <row r="9" customFormat="false" ht="14.25" hidden="false" customHeight="false" outlineLevel="0" collapsed="false">
      <c r="A9" s="6" t="n">
        <v>3</v>
      </c>
      <c r="B9" s="7" t="s">
        <v>22</v>
      </c>
      <c r="C9" s="6" t="n">
        <v>1</v>
      </c>
      <c r="D9" s="7" t="s">
        <v>23</v>
      </c>
      <c r="E9" s="7" t="s">
        <v>24</v>
      </c>
      <c r="F9" s="8" t="s">
        <v>25</v>
      </c>
      <c r="G9" s="8" t="s">
        <v>26</v>
      </c>
      <c r="H9" s="9" t="s">
        <v>15</v>
      </c>
      <c r="I9" s="9"/>
    </row>
    <row r="10" customFormat="false" ht="14.25" hidden="false" customHeight="false" outlineLevel="0" collapsed="false">
      <c r="A10" s="6" t="n">
        <v>4</v>
      </c>
      <c r="B10" s="7" t="s">
        <v>27</v>
      </c>
      <c r="C10" s="6" t="n">
        <v>1</v>
      </c>
      <c r="D10" s="7" t="s">
        <v>28</v>
      </c>
      <c r="E10" s="7" t="s">
        <v>29</v>
      </c>
      <c r="F10" s="8" t="s">
        <v>30</v>
      </c>
      <c r="G10" s="8" t="s">
        <v>31</v>
      </c>
      <c r="H10" s="9" t="s">
        <v>15</v>
      </c>
      <c r="I10" s="9"/>
    </row>
    <row r="11" customFormat="false" ht="14.25" hidden="false" customHeight="false" outlineLevel="0" collapsed="false">
      <c r="A11" s="6" t="n">
        <v>5</v>
      </c>
      <c r="B11" s="7" t="s">
        <v>32</v>
      </c>
      <c r="C11" s="6" t="n">
        <v>1</v>
      </c>
      <c r="D11" s="7" t="s">
        <v>33</v>
      </c>
      <c r="E11" s="7" t="s">
        <v>34</v>
      </c>
      <c r="F11" s="8" t="s">
        <v>35</v>
      </c>
      <c r="G11" s="8" t="s">
        <v>36</v>
      </c>
      <c r="H11" s="9" t="s">
        <v>15</v>
      </c>
      <c r="I11" s="9"/>
    </row>
    <row r="12" customFormat="false" ht="14.25" hidden="false" customHeight="false" outlineLevel="0" collapsed="false">
      <c r="A12" s="6" t="n">
        <v>6</v>
      </c>
      <c r="B12" s="7" t="s">
        <v>37</v>
      </c>
      <c r="C12" s="6" t="n">
        <v>2</v>
      </c>
      <c r="D12" s="7" t="s">
        <v>38</v>
      </c>
      <c r="E12" s="7" t="s">
        <v>39</v>
      </c>
      <c r="F12" s="8" t="s">
        <v>40</v>
      </c>
      <c r="G12" s="14" t="s">
        <v>41</v>
      </c>
      <c r="H12" s="9" t="s">
        <v>15</v>
      </c>
      <c r="I12" s="9"/>
    </row>
    <row r="13" customFormat="false" ht="14.25" hidden="false" customHeight="false" outlineLevel="0" collapsed="false">
      <c r="A13" s="6" t="n">
        <v>7</v>
      </c>
      <c r="B13" s="7" t="s">
        <v>42</v>
      </c>
      <c r="C13" s="6" t="n">
        <v>1</v>
      </c>
      <c r="D13" s="7" t="s">
        <v>43</v>
      </c>
      <c r="E13" s="7" t="s">
        <v>44</v>
      </c>
      <c r="F13" s="8" t="s">
        <v>45</v>
      </c>
      <c r="G13" s="14" t="s">
        <v>46</v>
      </c>
      <c r="H13" s="9" t="s">
        <v>15</v>
      </c>
      <c r="I13" s="9"/>
    </row>
    <row r="14" customFormat="false" ht="14.25" hidden="false" customHeight="false" outlineLevel="0" collapsed="false">
      <c r="A14" s="6" t="n">
        <v>8</v>
      </c>
      <c r="B14" s="7" t="s">
        <v>47</v>
      </c>
      <c r="C14" s="6" t="n">
        <v>2</v>
      </c>
      <c r="D14" s="7" t="s">
        <v>38</v>
      </c>
      <c r="E14" s="7" t="s">
        <v>48</v>
      </c>
      <c r="F14" s="7" t="s">
        <v>49</v>
      </c>
      <c r="G14" s="14" t="s">
        <v>41</v>
      </c>
      <c r="H14" s="9" t="s">
        <v>15</v>
      </c>
      <c r="I14" s="9"/>
    </row>
    <row r="15" customFormat="false" ht="14.25" hidden="false" customHeight="false" outlineLevel="0" collapsed="false">
      <c r="A15" s="6" t="n">
        <v>9</v>
      </c>
      <c r="B15" s="7" t="s">
        <v>50</v>
      </c>
      <c r="C15" s="6" t="n">
        <v>1</v>
      </c>
      <c r="D15" s="7" t="s">
        <v>51</v>
      </c>
      <c r="E15" s="7" t="s">
        <v>52</v>
      </c>
      <c r="F15" s="7" t="s">
        <v>53</v>
      </c>
      <c r="G15" s="14" t="s">
        <v>41</v>
      </c>
      <c r="H15" s="9" t="s">
        <v>15</v>
      </c>
      <c r="I15" s="9"/>
    </row>
    <row r="16" customFormat="false" ht="14.25" hidden="false" customHeight="false" outlineLevel="0" collapsed="false">
      <c r="A16" s="10" t="n">
        <v>10</v>
      </c>
      <c r="B16" s="11" t="s">
        <v>54</v>
      </c>
      <c r="C16" s="10" t="n">
        <v>1</v>
      </c>
      <c r="D16" s="11" t="s">
        <v>51</v>
      </c>
      <c r="E16" s="11" t="s">
        <v>55</v>
      </c>
      <c r="F16" s="11" t="s">
        <v>56</v>
      </c>
      <c r="G16" s="15" t="s">
        <v>41</v>
      </c>
      <c r="H16" s="13" t="s">
        <v>21</v>
      </c>
      <c r="I16" s="13"/>
    </row>
    <row r="17" customFormat="false" ht="14.25" hidden="false" customHeight="false" outlineLevel="0" collapsed="false">
      <c r="A17" s="6" t="n">
        <v>11</v>
      </c>
      <c r="B17" s="7" t="s">
        <v>57</v>
      </c>
      <c r="C17" s="6" t="n">
        <v>2</v>
      </c>
      <c r="D17" s="7" t="s">
        <v>58</v>
      </c>
      <c r="E17" s="7" t="s">
        <v>59</v>
      </c>
      <c r="F17" s="7" t="s">
        <v>60</v>
      </c>
      <c r="G17" s="14" t="s">
        <v>41</v>
      </c>
      <c r="H17" s="9" t="s">
        <v>15</v>
      </c>
      <c r="I17" s="9"/>
    </row>
    <row r="18" customFormat="false" ht="14.25" hidden="false" customHeight="false" outlineLevel="0" collapsed="false">
      <c r="A18" s="6" t="n">
        <v>12</v>
      </c>
      <c r="B18" s="7" t="s">
        <v>61</v>
      </c>
      <c r="C18" s="6" t="n">
        <v>1</v>
      </c>
      <c r="D18" s="7" t="s">
        <v>62</v>
      </c>
      <c r="E18" s="7" t="s">
        <v>63</v>
      </c>
      <c r="F18" s="8" t="s">
        <v>64</v>
      </c>
      <c r="G18" s="14" t="s">
        <v>65</v>
      </c>
      <c r="H18" s="9" t="s">
        <v>15</v>
      </c>
      <c r="I18" s="9"/>
    </row>
    <row r="19" customFormat="false" ht="14.25" hidden="false" customHeight="false" outlineLevel="0" collapsed="false">
      <c r="A19" s="6" t="n">
        <v>13</v>
      </c>
      <c r="B19" s="7" t="s">
        <v>66</v>
      </c>
      <c r="C19" s="6" t="n">
        <v>2</v>
      </c>
      <c r="D19" s="7" t="s">
        <v>67</v>
      </c>
      <c r="E19" s="7" t="s">
        <v>68</v>
      </c>
      <c r="F19" s="7" t="s">
        <v>69</v>
      </c>
      <c r="G19" s="14" t="s">
        <v>15</v>
      </c>
      <c r="H19" s="9" t="s">
        <v>15</v>
      </c>
      <c r="I19" s="9"/>
    </row>
    <row r="20" customFormat="false" ht="14.25" hidden="false" customHeight="false" outlineLevel="0" collapsed="false">
      <c r="A20" s="6" t="n">
        <v>14</v>
      </c>
      <c r="B20" s="7" t="s">
        <v>70</v>
      </c>
      <c r="C20" s="6" t="n">
        <v>1</v>
      </c>
      <c r="D20" s="7" t="s">
        <v>71</v>
      </c>
      <c r="E20" s="7" t="s">
        <v>72</v>
      </c>
      <c r="F20" s="7" t="s">
        <v>73</v>
      </c>
      <c r="G20" s="14" t="s">
        <v>15</v>
      </c>
      <c r="H20" s="9" t="s">
        <v>15</v>
      </c>
      <c r="I20" s="9"/>
    </row>
    <row r="21" customFormat="false" ht="14.25" hidden="false" customHeight="false" outlineLevel="0" collapsed="false">
      <c r="A21" s="6" t="n">
        <v>15</v>
      </c>
      <c r="B21" s="7" t="s">
        <v>74</v>
      </c>
      <c r="C21" s="6" t="n">
        <v>2</v>
      </c>
      <c r="D21" s="7" t="s">
        <v>62</v>
      </c>
      <c r="E21" s="7" t="s">
        <v>75</v>
      </c>
      <c r="F21" s="8" t="s">
        <v>76</v>
      </c>
      <c r="G21" s="14" t="s">
        <v>77</v>
      </c>
      <c r="H21" s="9" t="s">
        <v>78</v>
      </c>
      <c r="I21" s="9"/>
    </row>
    <row r="25" customFormat="false" ht="14.25" hidden="false" customHeight="false" outlineLevel="0" collapsed="false">
      <c r="A25" s="16" t="s">
        <v>79</v>
      </c>
    </row>
    <row r="27" customFormat="false" ht="13.8" hidden="false" customHeight="false" outlineLevel="0" collapsed="false">
      <c r="B27" s="17" t="s">
        <v>80</v>
      </c>
      <c r="C27" s="17" t="n">
        <v>1</v>
      </c>
      <c r="D27" s="1" t="s">
        <v>81</v>
      </c>
      <c r="E27" s="1" t="s">
        <v>82</v>
      </c>
      <c r="F27" s="1" t="s">
        <v>83</v>
      </c>
      <c r="G27" s="17"/>
      <c r="H27" s="1" t="s">
        <v>84</v>
      </c>
    </row>
    <row r="28" customFormat="false" ht="13.8" hidden="false" customHeight="false" outlineLevel="0" collapsed="false">
      <c r="B28" s="17" t="s">
        <v>85</v>
      </c>
      <c r="C28" s="17" t="n">
        <v>1</v>
      </c>
      <c r="D28" s="1" t="s">
        <v>86</v>
      </c>
      <c r="F28" s="1" t="s">
        <v>87</v>
      </c>
      <c r="G28" s="17"/>
      <c r="H28" s="1" t="s">
        <v>84</v>
      </c>
    </row>
    <row r="29" customFormat="false" ht="13.8" hidden="false" customHeight="false" outlineLevel="0" collapsed="false">
      <c r="B29" s="17" t="s">
        <v>88</v>
      </c>
      <c r="C29" s="17" t="n">
        <v>9</v>
      </c>
      <c r="D29" s="1" t="s">
        <v>86</v>
      </c>
      <c r="F29" s="18" t="s">
        <v>89</v>
      </c>
      <c r="G29" s="19" t="s">
        <v>41</v>
      </c>
      <c r="H29" s="9" t="s">
        <v>15</v>
      </c>
    </row>
    <row r="30" customFormat="false" ht="13.8" hidden="false" customHeight="false" outlineLevel="0" collapsed="false">
      <c r="B30" s="17" t="s">
        <v>90</v>
      </c>
      <c r="C30" s="17" t="n">
        <v>1</v>
      </c>
      <c r="D30" s="1" t="s">
        <v>86</v>
      </c>
      <c r="F30" s="18" t="s">
        <v>91</v>
      </c>
      <c r="G30" s="19" t="s">
        <v>41</v>
      </c>
      <c r="H30" s="9" t="s">
        <v>15</v>
      </c>
    </row>
    <row r="31" customFormat="false" ht="13.8" hidden="false" customHeight="false" outlineLevel="0" collapsed="false">
      <c r="B31" s="17" t="s">
        <v>92</v>
      </c>
      <c r="C31" s="17" t="n">
        <v>3</v>
      </c>
      <c r="D31" s="1" t="s">
        <v>86</v>
      </c>
      <c r="F31" s="18" t="s">
        <v>93</v>
      </c>
      <c r="G31" s="19" t="s">
        <v>41</v>
      </c>
      <c r="H31" s="9" t="s">
        <v>15</v>
      </c>
    </row>
    <row r="32" customFormat="false" ht="13.8" hidden="false" customHeight="false" outlineLevel="0" collapsed="false">
      <c r="B32" s="17" t="s">
        <v>94</v>
      </c>
      <c r="C32" s="17" t="n">
        <v>2</v>
      </c>
      <c r="D32" s="1" t="s">
        <v>86</v>
      </c>
      <c r="F32" s="18" t="s">
        <v>95</v>
      </c>
      <c r="G32" s="19" t="s">
        <v>41</v>
      </c>
      <c r="H32" s="9" t="s">
        <v>15</v>
      </c>
    </row>
    <row r="33" customFormat="false" ht="13.8" hidden="false" customHeight="false" outlineLevel="0" collapsed="false">
      <c r="A33" s="0"/>
      <c r="B33" s="17" t="s">
        <v>96</v>
      </c>
      <c r="C33" s="17" t="n">
        <v>1</v>
      </c>
      <c r="D33" s="1" t="s">
        <v>86</v>
      </c>
      <c r="E33" s="0"/>
      <c r="F33" s="18" t="s">
        <v>97</v>
      </c>
      <c r="G33" s="19" t="s">
        <v>41</v>
      </c>
      <c r="H33" s="9" t="s">
        <v>15</v>
      </c>
      <c r="I33" s="0"/>
      <c r="J33" s="0"/>
    </row>
    <row r="34" customFormat="false" ht="13.8" hidden="false" customHeight="false" outlineLevel="0" collapsed="false">
      <c r="A34" s="0"/>
      <c r="B34" s="17" t="s">
        <v>98</v>
      </c>
      <c r="C34" s="17" t="n">
        <v>2</v>
      </c>
      <c r="D34" s="0"/>
      <c r="E34" s="0"/>
      <c r="F34" s="18" t="s">
        <v>99</v>
      </c>
      <c r="G34" s="19" t="s">
        <v>41</v>
      </c>
      <c r="H34" s="9" t="s">
        <v>15</v>
      </c>
      <c r="I34" s="0"/>
      <c r="J34" s="0"/>
    </row>
    <row r="35" customFormat="false" ht="13.8" hidden="false" customHeight="false" outlineLevel="0" collapsed="false">
      <c r="A35" s="0"/>
      <c r="B35" s="17" t="s">
        <v>100</v>
      </c>
      <c r="C35" s="17" t="n">
        <v>4</v>
      </c>
      <c r="D35" s="1" t="s">
        <v>86</v>
      </c>
      <c r="E35" s="0"/>
      <c r="F35" s="18" t="s">
        <v>101</v>
      </c>
      <c r="G35" s="19" t="s">
        <v>41</v>
      </c>
      <c r="H35" s="9" t="s">
        <v>15</v>
      </c>
      <c r="I35" s="0"/>
      <c r="J35" s="0"/>
    </row>
    <row r="36" customFormat="false" ht="13.8" hidden="false" customHeight="false" outlineLevel="0" collapsed="false">
      <c r="A36" s="0"/>
      <c r="B36" s="17" t="s">
        <v>102</v>
      </c>
      <c r="C36" s="17" t="n">
        <v>1</v>
      </c>
      <c r="D36" s="1" t="s">
        <v>86</v>
      </c>
      <c r="E36" s="0"/>
      <c r="F36" s="18" t="s">
        <v>103</v>
      </c>
      <c r="G36" s="19" t="s">
        <v>41</v>
      </c>
      <c r="H36" s="9" t="s">
        <v>15</v>
      </c>
      <c r="I36" s="0"/>
      <c r="J36" s="0"/>
    </row>
    <row r="37" customFormat="false" ht="13.8" hidden="false" customHeight="false" outlineLevel="0" collapsed="false">
      <c r="A37" s="0"/>
      <c r="B37" s="17" t="s">
        <v>104</v>
      </c>
      <c r="C37" s="17" t="n">
        <v>1</v>
      </c>
      <c r="D37" s="1" t="s">
        <v>86</v>
      </c>
      <c r="E37" s="0"/>
      <c r="F37" s="18" t="s">
        <v>105</v>
      </c>
      <c r="G37" s="19" t="s">
        <v>41</v>
      </c>
      <c r="H37" s="9" t="s">
        <v>15</v>
      </c>
      <c r="I37" s="0"/>
      <c r="J37" s="0"/>
    </row>
    <row r="38" customFormat="false" ht="13.8" hidden="false" customHeight="false" outlineLevel="0" collapsed="false">
      <c r="A38" s="0"/>
      <c r="B38" s="17" t="s">
        <v>106</v>
      </c>
      <c r="C38" s="17" t="n">
        <v>1</v>
      </c>
      <c r="D38" s="0"/>
      <c r="E38" s="0"/>
      <c r="F38" s="18" t="s">
        <v>107</v>
      </c>
      <c r="G38" s="17" t="s">
        <v>108</v>
      </c>
      <c r="H38" s="0"/>
      <c r="I38" s="0"/>
      <c r="J38" s="0"/>
    </row>
    <row r="39" customFormat="false" ht="13.8" hidden="false" customHeight="false" outlineLevel="0" collapsed="false">
      <c r="A39" s="0"/>
      <c r="B39" s="17" t="s">
        <v>109</v>
      </c>
      <c r="C39" s="17" t="n">
        <v>1</v>
      </c>
      <c r="D39" s="0" t="s">
        <v>110</v>
      </c>
      <c r="E39" s="0" t="s">
        <v>111</v>
      </c>
      <c r="F39" s="18" t="s">
        <v>112</v>
      </c>
      <c r="G39" s="17"/>
      <c r="H39" s="0" t="s">
        <v>84</v>
      </c>
      <c r="I39" s="0"/>
      <c r="J39" s="0"/>
    </row>
    <row r="40" customFormat="false" ht="13.8" hidden="false" customHeight="false" outlineLevel="0" collapsed="false">
      <c r="A40" s="0"/>
      <c r="B40" s="17" t="s">
        <v>113</v>
      </c>
      <c r="C40" s="17" t="n">
        <v>1</v>
      </c>
      <c r="D40" s="0" t="s">
        <v>114</v>
      </c>
      <c r="E40" s="0" t="s">
        <v>115</v>
      </c>
      <c r="F40" s="18" t="s">
        <v>116</v>
      </c>
      <c r="G40" s="17" t="s">
        <v>117</v>
      </c>
      <c r="H40" s="9" t="s">
        <v>15</v>
      </c>
      <c r="I40" s="0"/>
      <c r="J40" s="0"/>
    </row>
    <row r="41" customFormat="false" ht="13.8" hidden="false" customHeight="false" outlineLevel="0" collapsed="false">
      <c r="A41" s="0"/>
      <c r="B41" s="17" t="s">
        <v>118</v>
      </c>
      <c r="C41" s="17" t="n">
        <v>1</v>
      </c>
      <c r="D41" s="0" t="s">
        <v>119</v>
      </c>
      <c r="E41" s="0" t="s">
        <v>120</v>
      </c>
      <c r="F41" s="18" t="s">
        <v>112</v>
      </c>
      <c r="G41" s="17"/>
      <c r="H41" s="0" t="s">
        <v>84</v>
      </c>
      <c r="I41" s="0"/>
      <c r="J41" s="0"/>
    </row>
    <row r="42" customFormat="false" ht="13.8" hidden="false" customHeight="false" outlineLevel="0" collapsed="false">
      <c r="A42" s="0"/>
      <c r="B42" s="17" t="s">
        <v>32</v>
      </c>
      <c r="C42" s="17" t="n">
        <v>1</v>
      </c>
      <c r="D42" s="0" t="s">
        <v>121</v>
      </c>
      <c r="E42" s="0" t="s">
        <v>122</v>
      </c>
      <c r="F42" s="18" t="s">
        <v>123</v>
      </c>
      <c r="G42" s="17" t="s">
        <v>124</v>
      </c>
      <c r="H42" s="9" t="s">
        <v>15</v>
      </c>
      <c r="I42" s="0"/>
      <c r="J42" s="0"/>
    </row>
    <row r="43" customFormat="false" ht="13.8" hidden="false" customHeight="false" outlineLevel="0" collapsed="false">
      <c r="A43" s="0"/>
      <c r="B43" s="17" t="s">
        <v>125</v>
      </c>
      <c r="C43" s="17" t="n">
        <v>3</v>
      </c>
      <c r="D43" s="0"/>
      <c r="E43" s="0"/>
      <c r="F43" s="18"/>
      <c r="G43" s="17" t="s">
        <v>126</v>
      </c>
      <c r="H43" s="9" t="s">
        <v>15</v>
      </c>
      <c r="I43" s="0"/>
      <c r="J43" s="0"/>
    </row>
    <row r="44" customFormat="false" ht="13.8" hidden="false" customHeight="false" outlineLevel="0" collapsed="false">
      <c r="A44" s="0"/>
      <c r="B44" s="17" t="s">
        <v>127</v>
      </c>
      <c r="C44" s="17" t="n">
        <v>1</v>
      </c>
      <c r="D44" s="0"/>
      <c r="E44" s="0"/>
      <c r="F44" s="18"/>
      <c r="G44" s="17" t="s">
        <v>128</v>
      </c>
      <c r="H44" s="9" t="s">
        <v>15</v>
      </c>
      <c r="I44" s="0"/>
      <c r="J44" s="0"/>
    </row>
    <row r="45" customFormat="false" ht="13.8" hidden="false" customHeight="false" outlineLevel="0" collapsed="false">
      <c r="A45" s="0"/>
      <c r="B45" s="17" t="s">
        <v>129</v>
      </c>
      <c r="C45" s="17" t="n">
        <v>1</v>
      </c>
      <c r="D45" s="0"/>
      <c r="E45" s="0"/>
      <c r="F45" s="18" t="s">
        <v>130</v>
      </c>
      <c r="G45" s="17"/>
      <c r="H45" s="0"/>
      <c r="I45" s="0"/>
      <c r="J45" s="0"/>
    </row>
    <row r="46" customFormat="false" ht="13.8" hidden="false" customHeight="false" outlineLevel="0" collapsed="false">
      <c r="A46" s="0"/>
      <c r="B46" s="17" t="s">
        <v>131</v>
      </c>
      <c r="C46" s="17" t="n">
        <v>1</v>
      </c>
      <c r="D46" s="0"/>
      <c r="E46" s="0"/>
      <c r="F46" s="18" t="s">
        <v>132</v>
      </c>
      <c r="G46" s="17" t="s">
        <v>133</v>
      </c>
      <c r="H46" s="9" t="s">
        <v>15</v>
      </c>
      <c r="I46" s="0"/>
      <c r="J46" s="0"/>
    </row>
    <row r="47" customFormat="false" ht="13.8" hidden="false" customHeight="false" outlineLevel="0" collapsed="false">
      <c r="A47" s="0"/>
      <c r="B47" s="17" t="s">
        <v>134</v>
      </c>
      <c r="C47" s="17" t="n">
        <v>1</v>
      </c>
      <c r="D47" s="0"/>
      <c r="E47" s="0"/>
      <c r="F47" s="18" t="s">
        <v>135</v>
      </c>
      <c r="G47" s="19" t="s">
        <v>136</v>
      </c>
      <c r="H47" s="9" t="s">
        <v>15</v>
      </c>
      <c r="I47" s="0"/>
      <c r="J47" s="0"/>
    </row>
    <row r="48" customFormat="false" ht="13.8" hidden="false" customHeight="false" outlineLevel="0" collapsed="false">
      <c r="A48" s="0"/>
      <c r="B48" s="17" t="s">
        <v>137</v>
      </c>
      <c r="C48" s="17" t="n">
        <v>1</v>
      </c>
      <c r="D48" s="0"/>
      <c r="E48" s="0"/>
      <c r="F48" s="18" t="s">
        <v>135</v>
      </c>
      <c r="G48" s="19" t="s">
        <v>136</v>
      </c>
      <c r="H48" s="9" t="s">
        <v>15</v>
      </c>
      <c r="I48" s="0"/>
      <c r="J48" s="0"/>
    </row>
    <row r="49" customFormat="false" ht="13.8" hidden="false" customHeight="false" outlineLevel="0" collapsed="false">
      <c r="A49" s="0"/>
      <c r="B49" s="17" t="s">
        <v>138</v>
      </c>
      <c r="C49" s="17" t="n">
        <v>1</v>
      </c>
      <c r="D49" s="0"/>
      <c r="E49" s="0"/>
      <c r="F49" s="18" t="s">
        <v>139</v>
      </c>
      <c r="G49" s="19" t="s">
        <v>136</v>
      </c>
      <c r="H49" s="9" t="s">
        <v>15</v>
      </c>
      <c r="I49" s="0"/>
      <c r="J49" s="0"/>
    </row>
    <row r="50" customFormat="false" ht="13.8" hidden="false" customHeight="false" outlineLevel="0" collapsed="false">
      <c r="A50" s="0"/>
      <c r="B50" s="17" t="s">
        <v>140</v>
      </c>
      <c r="C50" s="17" t="n">
        <v>1</v>
      </c>
      <c r="D50" s="0"/>
      <c r="E50" s="0"/>
      <c r="F50" s="18" t="s">
        <v>141</v>
      </c>
      <c r="G50" s="19" t="s">
        <v>136</v>
      </c>
      <c r="H50" s="9" t="s">
        <v>15</v>
      </c>
      <c r="I50" s="0"/>
      <c r="J50" s="0"/>
    </row>
    <row r="51" customFormat="false" ht="13.8" hidden="false" customHeight="false" outlineLevel="0" collapsed="false">
      <c r="A51" s="0"/>
      <c r="B51" s="17" t="s">
        <v>142</v>
      </c>
      <c r="C51" s="17" t="n">
        <v>1</v>
      </c>
      <c r="D51" s="0"/>
      <c r="E51" s="0"/>
      <c r="F51" s="18"/>
      <c r="G51" s="17" t="s">
        <v>143</v>
      </c>
      <c r="H51" s="9" t="s">
        <v>15</v>
      </c>
      <c r="I51" s="0"/>
      <c r="J51" s="0"/>
    </row>
    <row r="52" customFormat="false" ht="13.8" hidden="false" customHeight="false" outlineLevel="0" collapsed="false">
      <c r="A52" s="0"/>
      <c r="B52" s="17" t="s">
        <v>144</v>
      </c>
      <c r="C52" s="17" t="n">
        <v>1</v>
      </c>
      <c r="D52" s="0"/>
      <c r="E52" s="0"/>
      <c r="F52" s="18" t="s">
        <v>145</v>
      </c>
      <c r="G52" s="19" t="s">
        <v>41</v>
      </c>
      <c r="H52" s="9" t="s">
        <v>15</v>
      </c>
      <c r="I52" s="0"/>
      <c r="J52" s="0"/>
    </row>
    <row r="53" customFormat="false" ht="13.8" hidden="false" customHeight="false" outlineLevel="0" collapsed="false">
      <c r="A53" s="0"/>
      <c r="B53" s="17"/>
      <c r="C53" s="17" t="n">
        <v>1</v>
      </c>
      <c r="D53" s="0"/>
      <c r="E53" s="0"/>
      <c r="F53" s="18" t="s">
        <v>146</v>
      </c>
      <c r="G53" s="17" t="s">
        <v>147</v>
      </c>
      <c r="H53" s="0"/>
      <c r="I53" s="0"/>
      <c r="J53" s="0"/>
    </row>
    <row r="54" customFormat="false" ht="13.8" hidden="false" customHeight="false" outlineLevel="0" collapsed="false">
      <c r="A54" s="0"/>
      <c r="B54" s="0"/>
      <c r="C54" s="0"/>
      <c r="D54" s="0"/>
      <c r="E54" s="0"/>
      <c r="F54" s="18" t="s">
        <v>148</v>
      </c>
      <c r="G54" s="0"/>
      <c r="H54" s="0"/>
      <c r="I54" s="0"/>
      <c r="J54" s="0"/>
    </row>
    <row r="55" customFormat="false" ht="13.8" hidden="false" customHeight="false" outlineLevel="0" collapsed="false">
      <c r="A55" s="0"/>
      <c r="B55" s="0"/>
      <c r="C55" s="0"/>
      <c r="D55" s="0"/>
      <c r="E55" s="0"/>
      <c r="F55" s="18" t="s">
        <v>149</v>
      </c>
      <c r="G55" s="0"/>
      <c r="H55" s="0"/>
      <c r="I55" s="0"/>
      <c r="J55" s="0"/>
    </row>
    <row r="56" customFormat="false" ht="13.8" hidden="false" customHeight="false" outlineLevel="0" collapsed="false">
      <c r="A56" s="0"/>
      <c r="B56" s="0"/>
      <c r="C56" s="0"/>
      <c r="D56" s="0"/>
      <c r="E56" s="0"/>
      <c r="F56" s="0"/>
      <c r="G56" s="0"/>
      <c r="H56" s="0"/>
      <c r="I56" s="0"/>
      <c r="J56" s="0"/>
    </row>
    <row r="57" customFormat="false" ht="13.8" hidden="false" customHeight="false" outlineLevel="0" collapsed="false">
      <c r="A57" s="0"/>
      <c r="B57" s="0"/>
      <c r="C57" s="0"/>
      <c r="D57" s="0"/>
      <c r="E57" s="0"/>
      <c r="F57" s="0"/>
      <c r="G57" s="0"/>
      <c r="H57" s="0"/>
      <c r="I57" s="0"/>
      <c r="J57" s="0"/>
    </row>
    <row r="58" customFormat="false" ht="13.8" hidden="false" customHeight="false" outlineLevel="0" collapsed="false">
      <c r="A58" s="0"/>
      <c r="B58" s="0"/>
      <c r="C58" s="0"/>
      <c r="D58" s="0"/>
      <c r="E58" s="0"/>
      <c r="F58" s="0"/>
      <c r="G58" s="0"/>
      <c r="H58" s="0"/>
      <c r="I58" s="0"/>
      <c r="J58" s="0"/>
    </row>
    <row r="59" customFormat="false" ht="13.8" hidden="false" customHeight="false" outlineLevel="0" collapsed="false">
      <c r="A59" s="0"/>
      <c r="B59" s="0"/>
      <c r="C59" s="0"/>
      <c r="D59" s="0"/>
      <c r="E59" s="0"/>
      <c r="F59" s="0"/>
      <c r="G59" s="0"/>
      <c r="H59" s="0"/>
      <c r="I59" s="0"/>
      <c r="J59" s="0"/>
    </row>
    <row r="60" customFormat="false" ht="13.8" hidden="false" customHeight="false" outlineLevel="0" collapsed="false">
      <c r="A60" s="0"/>
      <c r="B60" s="0"/>
      <c r="C60" s="0"/>
      <c r="D60" s="0"/>
      <c r="E60" s="0"/>
      <c r="F60" s="0"/>
      <c r="G60" s="0"/>
      <c r="H60" s="0"/>
      <c r="I60" s="0"/>
      <c r="J60" s="0"/>
    </row>
    <row r="61" customFormat="false" ht="13.8" hidden="false" customHeight="false" outlineLevel="0" collapsed="false">
      <c r="A61" s="0"/>
      <c r="B61" s="0"/>
      <c r="C61" s="0"/>
      <c r="D61" s="0"/>
      <c r="E61" s="0"/>
      <c r="F61" s="0"/>
      <c r="G61" s="0"/>
      <c r="H61" s="0"/>
      <c r="I61" s="0"/>
      <c r="J61" s="0"/>
    </row>
    <row r="62" customFormat="false" ht="13.8" hidden="false" customHeight="false" outlineLevel="0" collapsed="false">
      <c r="A62" s="0"/>
      <c r="B62" s="0"/>
      <c r="C62" s="0"/>
      <c r="D62" s="0"/>
      <c r="E62" s="0"/>
      <c r="F62" s="0"/>
      <c r="G62" s="0"/>
      <c r="H62" s="0"/>
      <c r="I62" s="0"/>
      <c r="J62" s="0"/>
    </row>
    <row r="79" customFormat="false" ht="13.8" hidden="false" customHeight="false" outlineLevel="0" collapsed="false">
      <c r="A79" s="20" t="s">
        <v>150</v>
      </c>
      <c r="B79" s="20" t="s">
        <v>151</v>
      </c>
      <c r="C79" s="20" t="s">
        <v>152</v>
      </c>
      <c r="D79" s="20" t="s">
        <v>153</v>
      </c>
      <c r="E79" s="20" t="s">
        <v>154</v>
      </c>
      <c r="F79" s="20" t="s">
        <v>155</v>
      </c>
      <c r="G79" s="21" t="s">
        <v>156</v>
      </c>
      <c r="H79" s="21" t="s">
        <v>157</v>
      </c>
      <c r="I79" s="22" t="s">
        <v>158</v>
      </c>
      <c r="J79" s="22" t="s">
        <v>159</v>
      </c>
    </row>
    <row r="80" customFormat="false" ht="13.8" hidden="false" customHeight="false" outlineLevel="0" collapsed="false">
      <c r="A80" s="17" t="n">
        <v>1</v>
      </c>
      <c r="B80" s="17"/>
      <c r="C80" s="17" t="s">
        <v>160</v>
      </c>
      <c r="D80" s="17" t="s">
        <v>161</v>
      </c>
      <c r="E80" s="17" t="s">
        <v>80</v>
      </c>
      <c r="F80" s="17" t="s">
        <v>162</v>
      </c>
      <c r="G80" s="18" t="s">
        <v>163</v>
      </c>
      <c r="H80" s="18"/>
      <c r="I80" s="23" t="n">
        <v>0.13</v>
      </c>
      <c r="J80" s="23" t="n">
        <f aca="false">I80*A80</f>
        <v>0.13</v>
      </c>
    </row>
    <row r="81" customFormat="false" ht="13.8" hidden="false" customHeight="false" outlineLevel="0" collapsed="false">
      <c r="A81" s="17" t="n">
        <v>1</v>
      </c>
      <c r="B81" s="17"/>
      <c r="C81" s="17" t="s">
        <v>164</v>
      </c>
      <c r="D81" s="17" t="s">
        <v>164</v>
      </c>
      <c r="E81" s="17" t="s">
        <v>85</v>
      </c>
      <c r="F81" s="17" t="s">
        <v>165</v>
      </c>
      <c r="G81" s="18" t="s">
        <v>166</v>
      </c>
      <c r="H81" s="18"/>
      <c r="I81" s="23" t="n">
        <v>0.08</v>
      </c>
      <c r="J81" s="23" t="n">
        <f aca="false">I81*A81</f>
        <v>0.08</v>
      </c>
    </row>
    <row r="82" customFormat="false" ht="13.8" hidden="false" customHeight="false" outlineLevel="0" collapsed="false">
      <c r="A82" s="17" t="n">
        <v>9</v>
      </c>
      <c r="B82" s="17" t="s">
        <v>167</v>
      </c>
      <c r="C82" s="17" t="s">
        <v>168</v>
      </c>
      <c r="D82" s="17" t="s">
        <v>169</v>
      </c>
      <c r="E82" s="17" t="s">
        <v>88</v>
      </c>
      <c r="F82" s="17" t="s">
        <v>170</v>
      </c>
      <c r="G82" s="18" t="s">
        <v>171</v>
      </c>
      <c r="H82" s="18"/>
      <c r="I82" s="24" t="n">
        <v>0.03</v>
      </c>
      <c r="J82" s="23" t="n">
        <f aca="false">I82*A82</f>
        <v>0.27</v>
      </c>
    </row>
    <row r="83" customFormat="false" ht="13.8" hidden="false" customHeight="false" outlineLevel="0" collapsed="false">
      <c r="A83" s="17" t="n">
        <v>1</v>
      </c>
      <c r="B83" s="17" t="s">
        <v>172</v>
      </c>
      <c r="C83" s="17" t="s">
        <v>173</v>
      </c>
      <c r="D83" s="17" t="s">
        <v>174</v>
      </c>
      <c r="E83" s="17" t="s">
        <v>90</v>
      </c>
      <c r="F83" s="17" t="s">
        <v>175</v>
      </c>
      <c r="G83" s="18" t="s">
        <v>176</v>
      </c>
      <c r="H83" s="18"/>
      <c r="I83" s="23" t="n">
        <v>0.03</v>
      </c>
      <c r="J83" s="23" t="n">
        <f aca="false">I83*A83</f>
        <v>0.03</v>
      </c>
    </row>
    <row r="84" customFormat="false" ht="13.8" hidden="false" customHeight="false" outlineLevel="0" collapsed="false">
      <c r="A84" s="17" t="n">
        <v>3</v>
      </c>
      <c r="B84" s="17" t="s">
        <v>177</v>
      </c>
      <c r="C84" s="17" t="s">
        <v>168</v>
      </c>
      <c r="D84" s="17" t="s">
        <v>169</v>
      </c>
      <c r="E84" s="17" t="s">
        <v>92</v>
      </c>
      <c r="F84" s="17" t="s">
        <v>170</v>
      </c>
      <c r="G84" s="18" t="s">
        <v>178</v>
      </c>
      <c r="H84" s="18"/>
      <c r="I84" s="23" t="n">
        <v>0.01</v>
      </c>
      <c r="J84" s="23" t="n">
        <f aca="false">I84*A84</f>
        <v>0.03</v>
      </c>
    </row>
    <row r="85" customFormat="false" ht="13.8" hidden="false" customHeight="false" outlineLevel="0" collapsed="false">
      <c r="A85" s="17" t="n">
        <v>2</v>
      </c>
      <c r="B85" s="17" t="s">
        <v>179</v>
      </c>
      <c r="C85" s="17" t="s">
        <v>168</v>
      </c>
      <c r="D85" s="17" t="s">
        <v>169</v>
      </c>
      <c r="E85" s="17" t="s">
        <v>94</v>
      </c>
      <c r="F85" s="17" t="s">
        <v>170</v>
      </c>
      <c r="G85" s="18" t="s">
        <v>180</v>
      </c>
      <c r="H85" s="18"/>
      <c r="I85" s="23" t="n">
        <v>0.04</v>
      </c>
      <c r="J85" s="23" t="n">
        <f aca="false">I85*A85</f>
        <v>0.08</v>
      </c>
    </row>
    <row r="86" customFormat="false" ht="13.8" hidden="false" customHeight="false" outlineLevel="0" collapsed="false">
      <c r="A86" s="17" t="n">
        <v>1</v>
      </c>
      <c r="B86" s="17" t="s">
        <v>181</v>
      </c>
      <c r="C86" s="17" t="s">
        <v>173</v>
      </c>
      <c r="D86" s="17" t="s">
        <v>174</v>
      </c>
      <c r="E86" s="17" t="s">
        <v>96</v>
      </c>
      <c r="F86" s="17" t="s">
        <v>175</v>
      </c>
      <c r="G86" s="18" t="s">
        <v>182</v>
      </c>
      <c r="H86" s="18"/>
      <c r="I86" s="23" t="n">
        <v>0.03</v>
      </c>
      <c r="J86" s="23" t="n">
        <f aca="false">I86*A86</f>
        <v>0.03</v>
      </c>
    </row>
    <row r="87" customFormat="false" ht="13.8" hidden="false" customHeight="false" outlineLevel="0" collapsed="false">
      <c r="A87" s="17" t="n">
        <v>2</v>
      </c>
      <c r="B87" s="17" t="s">
        <v>183</v>
      </c>
      <c r="C87" s="17" t="s">
        <v>168</v>
      </c>
      <c r="D87" s="17" t="s">
        <v>169</v>
      </c>
      <c r="E87" s="17" t="s">
        <v>98</v>
      </c>
      <c r="F87" s="17" t="s">
        <v>170</v>
      </c>
      <c r="G87" s="18" t="s">
        <v>184</v>
      </c>
      <c r="H87" s="18"/>
      <c r="I87" s="23" t="n">
        <v>0.04</v>
      </c>
      <c r="J87" s="23" t="n">
        <f aca="false">I87*A87</f>
        <v>0.08</v>
      </c>
    </row>
    <row r="88" customFormat="false" ht="13.8" hidden="false" customHeight="false" outlineLevel="0" collapsed="false">
      <c r="A88" s="17" t="n">
        <v>4</v>
      </c>
      <c r="B88" s="17" t="n">
        <v>270</v>
      </c>
      <c r="C88" s="17" t="s">
        <v>173</v>
      </c>
      <c r="D88" s="17" t="s">
        <v>174</v>
      </c>
      <c r="E88" s="17" t="s">
        <v>100</v>
      </c>
      <c r="F88" s="17" t="s">
        <v>175</v>
      </c>
      <c r="G88" s="18" t="s">
        <v>185</v>
      </c>
      <c r="H88" s="18"/>
      <c r="I88" s="23" t="n">
        <v>0.03</v>
      </c>
      <c r="J88" s="23" t="n">
        <f aca="false">I88*A88</f>
        <v>0.12</v>
      </c>
    </row>
    <row r="89" customFormat="false" ht="13.8" hidden="false" customHeight="false" outlineLevel="0" collapsed="false">
      <c r="A89" s="17" t="n">
        <v>1</v>
      </c>
      <c r="B89" s="17" t="s">
        <v>186</v>
      </c>
      <c r="C89" s="17" t="s">
        <v>173</v>
      </c>
      <c r="D89" s="17" t="s">
        <v>174</v>
      </c>
      <c r="E89" s="17" t="s">
        <v>102</v>
      </c>
      <c r="F89" s="17" t="s">
        <v>175</v>
      </c>
      <c r="G89" s="18" t="s">
        <v>187</v>
      </c>
      <c r="H89" s="18"/>
      <c r="I89" s="23" t="n">
        <v>0.03</v>
      </c>
      <c r="J89" s="23" t="n">
        <f aca="false">I89*A89</f>
        <v>0.03</v>
      </c>
    </row>
    <row r="90" customFormat="false" ht="13.8" hidden="false" customHeight="false" outlineLevel="0" collapsed="false">
      <c r="A90" s="17" t="n">
        <v>1</v>
      </c>
      <c r="B90" s="17" t="s">
        <v>188</v>
      </c>
      <c r="C90" s="17" t="s">
        <v>168</v>
      </c>
      <c r="D90" s="17" t="s">
        <v>169</v>
      </c>
      <c r="E90" s="17" t="s">
        <v>104</v>
      </c>
      <c r="F90" s="17" t="s">
        <v>170</v>
      </c>
      <c r="G90" s="18" t="s">
        <v>189</v>
      </c>
      <c r="H90" s="18"/>
      <c r="I90" s="23" t="n">
        <v>0.03</v>
      </c>
      <c r="J90" s="23" t="n">
        <f aca="false">I90*A90</f>
        <v>0.03</v>
      </c>
    </row>
    <row r="91" customFormat="false" ht="13.8" hidden="false" customHeight="false" outlineLevel="0" collapsed="false">
      <c r="A91" s="17" t="n">
        <v>1</v>
      </c>
      <c r="B91" s="17" t="s">
        <v>190</v>
      </c>
      <c r="C91" s="17" t="s">
        <v>190</v>
      </c>
      <c r="D91" s="17" t="s">
        <v>108</v>
      </c>
      <c r="E91" s="17" t="s">
        <v>106</v>
      </c>
      <c r="F91" s="17" t="s">
        <v>191</v>
      </c>
      <c r="G91" s="18" t="s">
        <v>107</v>
      </c>
      <c r="H91" s="18"/>
      <c r="I91" s="23" t="n">
        <v>0.46</v>
      </c>
      <c r="J91" s="23" t="n">
        <f aca="false">I91*A91</f>
        <v>0.46</v>
      </c>
    </row>
    <row r="92" customFormat="false" ht="13.8" hidden="false" customHeight="false" outlineLevel="0" collapsed="false">
      <c r="A92" s="17" t="n">
        <v>1</v>
      </c>
      <c r="B92" s="17" t="s">
        <v>111</v>
      </c>
      <c r="C92" s="17" t="s">
        <v>192</v>
      </c>
      <c r="D92" s="17" t="s">
        <v>192</v>
      </c>
      <c r="E92" s="17" t="s">
        <v>109</v>
      </c>
      <c r="F92" s="17" t="s">
        <v>112</v>
      </c>
      <c r="G92" s="18" t="s">
        <v>193</v>
      </c>
      <c r="H92" s="18"/>
      <c r="I92" s="23" t="n">
        <v>6.3</v>
      </c>
      <c r="J92" s="23" t="n">
        <f aca="false">I92*A92</f>
        <v>6.3</v>
      </c>
    </row>
    <row r="93" customFormat="false" ht="13.8" hidden="false" customHeight="false" outlineLevel="0" collapsed="false">
      <c r="A93" s="17" t="n">
        <v>1</v>
      </c>
      <c r="B93" s="17" t="s">
        <v>115</v>
      </c>
      <c r="C93" s="17" t="s">
        <v>115</v>
      </c>
      <c r="D93" s="17" t="s">
        <v>117</v>
      </c>
      <c r="E93" s="17" t="s">
        <v>113</v>
      </c>
      <c r="F93" s="17" t="s">
        <v>194</v>
      </c>
      <c r="G93" s="18" t="s">
        <v>195</v>
      </c>
      <c r="H93" s="18"/>
      <c r="I93" s="23" t="n">
        <v>2.69</v>
      </c>
      <c r="J93" s="23" t="n">
        <f aca="false">I93*A93</f>
        <v>2.69</v>
      </c>
    </row>
    <row r="94" customFormat="false" ht="13.8" hidden="false" customHeight="false" outlineLevel="0" collapsed="false">
      <c r="A94" s="17" t="n">
        <v>1</v>
      </c>
      <c r="B94" s="17" t="s">
        <v>196</v>
      </c>
      <c r="C94" s="17" t="s">
        <v>192</v>
      </c>
      <c r="D94" s="17" t="s">
        <v>192</v>
      </c>
      <c r="E94" s="17" t="s">
        <v>118</v>
      </c>
      <c r="F94" s="17" t="s">
        <v>112</v>
      </c>
      <c r="G94" s="18" t="s">
        <v>197</v>
      </c>
      <c r="H94" s="18"/>
      <c r="I94" s="23" t="n">
        <v>6.89</v>
      </c>
      <c r="J94" s="23" t="n">
        <f aca="false">I94*A94</f>
        <v>6.89</v>
      </c>
    </row>
    <row r="95" customFormat="false" ht="13.8" hidden="false" customHeight="false" outlineLevel="0" collapsed="false">
      <c r="A95" s="17" t="n">
        <v>1</v>
      </c>
      <c r="B95" s="17" t="s">
        <v>122</v>
      </c>
      <c r="C95" s="17" t="s">
        <v>198</v>
      </c>
      <c r="D95" s="17" t="s">
        <v>124</v>
      </c>
      <c r="E95" s="17" t="s">
        <v>32</v>
      </c>
      <c r="F95" s="17" t="s">
        <v>199</v>
      </c>
      <c r="G95" s="18" t="s">
        <v>123</v>
      </c>
      <c r="H95" s="18"/>
      <c r="I95" s="23" t="n">
        <v>0.39</v>
      </c>
      <c r="J95" s="23" t="n">
        <f aca="false">I95*A95</f>
        <v>0.39</v>
      </c>
    </row>
    <row r="96" customFormat="false" ht="13.8" hidden="false" customHeight="false" outlineLevel="0" collapsed="false">
      <c r="A96" s="17" t="n">
        <v>3</v>
      </c>
      <c r="B96" s="17" t="s">
        <v>200</v>
      </c>
      <c r="C96" s="17" t="s">
        <v>200</v>
      </c>
      <c r="D96" s="17" t="s">
        <v>126</v>
      </c>
      <c r="E96" s="17" t="s">
        <v>125</v>
      </c>
      <c r="F96" s="17"/>
      <c r="G96" s="18"/>
      <c r="H96" s="18" t="n">
        <v>2528540</v>
      </c>
      <c r="I96" s="23" t="n">
        <v>2.62</v>
      </c>
      <c r="J96" s="23" t="n">
        <f aca="false">I96*A96</f>
        <v>7.86</v>
      </c>
    </row>
    <row r="97" customFormat="false" ht="13.8" hidden="false" customHeight="false" outlineLevel="0" collapsed="false">
      <c r="A97" s="17" t="n">
        <v>1</v>
      </c>
      <c r="B97" s="17" t="s">
        <v>201</v>
      </c>
      <c r="C97" s="17" t="s">
        <v>202</v>
      </c>
      <c r="D97" s="17" t="s">
        <v>128</v>
      </c>
      <c r="E97" s="17" t="s">
        <v>127</v>
      </c>
      <c r="F97" s="17"/>
      <c r="G97" s="18"/>
      <c r="H97" s="18" t="n">
        <v>1296591</v>
      </c>
      <c r="I97" s="23" t="n">
        <v>0.32</v>
      </c>
      <c r="J97" s="23" t="n">
        <f aca="false">I97*A97</f>
        <v>0.32</v>
      </c>
    </row>
    <row r="98" customFormat="false" ht="13.8" hidden="false" customHeight="false" outlineLevel="0" collapsed="false">
      <c r="A98" s="17" t="n">
        <v>1</v>
      </c>
      <c r="B98" s="17" t="s">
        <v>203</v>
      </c>
      <c r="C98" s="17" t="s">
        <v>203</v>
      </c>
      <c r="D98" s="17" t="s">
        <v>204</v>
      </c>
      <c r="E98" s="17" t="s">
        <v>129</v>
      </c>
      <c r="F98" s="17" t="s">
        <v>205</v>
      </c>
      <c r="G98" s="18" t="s">
        <v>130</v>
      </c>
      <c r="H98" s="18"/>
      <c r="I98" s="23" t="n">
        <v>0.24</v>
      </c>
      <c r="J98" s="23" t="n">
        <f aca="false">I98*A98</f>
        <v>0.24</v>
      </c>
    </row>
    <row r="99" customFormat="false" ht="13.8" hidden="false" customHeight="false" outlineLevel="0" collapsed="false">
      <c r="A99" s="17" t="n">
        <v>1</v>
      </c>
      <c r="B99" s="17" t="s">
        <v>206</v>
      </c>
      <c r="C99" s="17" t="s">
        <v>206</v>
      </c>
      <c r="D99" s="17" t="s">
        <v>133</v>
      </c>
      <c r="E99" s="17" t="s">
        <v>131</v>
      </c>
      <c r="F99" s="17"/>
      <c r="G99" s="18" t="s">
        <v>132</v>
      </c>
      <c r="H99" s="18"/>
      <c r="I99" s="23" t="n">
        <v>0.24</v>
      </c>
      <c r="J99" s="23" t="n">
        <f aca="false">I99*A99</f>
        <v>0.24</v>
      </c>
    </row>
    <row r="100" customFormat="false" ht="13.8" hidden="false" customHeight="false" outlineLevel="0" collapsed="false">
      <c r="A100" s="17" t="n">
        <v>1</v>
      </c>
      <c r="B100" s="17" t="s">
        <v>207</v>
      </c>
      <c r="C100" s="17" t="s">
        <v>208</v>
      </c>
      <c r="D100" s="17" t="s">
        <v>209</v>
      </c>
      <c r="E100" s="17" t="s">
        <v>134</v>
      </c>
      <c r="F100" s="17" t="s">
        <v>210</v>
      </c>
      <c r="G100" s="18" t="s">
        <v>135</v>
      </c>
      <c r="H100" s="18"/>
      <c r="I100" s="23" t="n">
        <v>0.06</v>
      </c>
      <c r="J100" s="23" t="n">
        <f aca="false">I100*A100</f>
        <v>0.06</v>
      </c>
    </row>
    <row r="101" customFormat="false" ht="13.8" hidden="false" customHeight="false" outlineLevel="0" collapsed="false">
      <c r="A101" s="17" t="n">
        <v>1</v>
      </c>
      <c r="B101" s="17" t="s">
        <v>211</v>
      </c>
      <c r="C101" s="17" t="s">
        <v>208</v>
      </c>
      <c r="D101" s="17" t="s">
        <v>209</v>
      </c>
      <c r="E101" s="17" t="s">
        <v>137</v>
      </c>
      <c r="F101" s="17" t="s">
        <v>210</v>
      </c>
      <c r="G101" s="18" t="s">
        <v>135</v>
      </c>
      <c r="H101" s="18"/>
      <c r="I101" s="23" t="n">
        <v>0.06</v>
      </c>
      <c r="J101" s="23" t="n">
        <f aca="false">I101*A101</f>
        <v>0.06</v>
      </c>
    </row>
    <row r="102" customFormat="false" ht="13.8" hidden="false" customHeight="false" outlineLevel="0" collapsed="false">
      <c r="A102" s="17" t="n">
        <v>1</v>
      </c>
      <c r="B102" s="17" t="s">
        <v>212</v>
      </c>
      <c r="C102" s="17" t="s">
        <v>208</v>
      </c>
      <c r="D102" s="17" t="s">
        <v>209</v>
      </c>
      <c r="E102" s="17" t="s">
        <v>138</v>
      </c>
      <c r="F102" s="17" t="s">
        <v>210</v>
      </c>
      <c r="G102" s="18" t="s">
        <v>139</v>
      </c>
      <c r="H102" s="18"/>
      <c r="I102" s="23" t="n">
        <v>0.05</v>
      </c>
      <c r="J102" s="23" t="n">
        <f aca="false">I102*A102</f>
        <v>0.05</v>
      </c>
    </row>
    <row r="103" customFormat="false" ht="13.8" hidden="false" customHeight="false" outlineLevel="0" collapsed="false">
      <c r="A103" s="17" t="n">
        <v>1</v>
      </c>
      <c r="B103" s="17" t="s">
        <v>213</v>
      </c>
      <c r="C103" s="17" t="s">
        <v>208</v>
      </c>
      <c r="D103" s="17" t="s">
        <v>209</v>
      </c>
      <c r="E103" s="17" t="s">
        <v>140</v>
      </c>
      <c r="F103" s="17" t="s">
        <v>210</v>
      </c>
      <c r="G103" s="18" t="s">
        <v>141</v>
      </c>
      <c r="H103" s="18"/>
      <c r="I103" s="23" t="n">
        <v>0.05</v>
      </c>
      <c r="J103" s="23" t="n">
        <f aca="false">I103*A103</f>
        <v>0.05</v>
      </c>
    </row>
    <row r="104" customFormat="false" ht="13.8" hidden="false" customHeight="false" outlineLevel="0" collapsed="false">
      <c r="A104" s="17" t="n">
        <v>1</v>
      </c>
      <c r="B104" s="17" t="s">
        <v>214</v>
      </c>
      <c r="C104" s="17" t="s">
        <v>215</v>
      </c>
      <c r="D104" s="17" t="s">
        <v>216</v>
      </c>
      <c r="E104" s="17" t="s">
        <v>142</v>
      </c>
      <c r="F104" s="17" t="s">
        <v>217</v>
      </c>
      <c r="G104" s="18"/>
      <c r="H104" s="18" t="n">
        <v>1295310</v>
      </c>
      <c r="I104" s="23" t="n">
        <v>0.28</v>
      </c>
      <c r="J104" s="23" t="n">
        <f aca="false">I104*A104</f>
        <v>0.28</v>
      </c>
    </row>
    <row r="105" customFormat="false" ht="13.8" hidden="false" customHeight="false" outlineLevel="0" collapsed="false">
      <c r="A105" s="17" t="n">
        <v>1</v>
      </c>
      <c r="B105" s="17" t="s">
        <v>218</v>
      </c>
      <c r="C105" s="17" t="s">
        <v>218</v>
      </c>
      <c r="D105" s="17" t="n">
        <v>805</v>
      </c>
      <c r="E105" s="17" t="s">
        <v>144</v>
      </c>
      <c r="F105" s="17" t="s">
        <v>219</v>
      </c>
      <c r="G105" s="18" t="s">
        <v>145</v>
      </c>
      <c r="H105" s="18"/>
      <c r="I105" s="23" t="n">
        <v>0.04</v>
      </c>
      <c r="J105" s="23" t="n">
        <f aca="false">I105*A105</f>
        <v>0.04</v>
      </c>
    </row>
    <row r="106" customFormat="false" ht="13.8" hidden="false" customHeight="false" outlineLevel="0" collapsed="false">
      <c r="A106" s="17" t="n">
        <v>1</v>
      </c>
      <c r="B106" s="17" t="s">
        <v>147</v>
      </c>
      <c r="C106" s="17" t="s">
        <v>147</v>
      </c>
      <c r="D106" s="17" t="s">
        <v>147</v>
      </c>
      <c r="E106" s="17"/>
      <c r="F106" s="17"/>
      <c r="G106" s="18" t="s">
        <v>146</v>
      </c>
      <c r="H106" s="18"/>
      <c r="I106" s="23" t="n">
        <f aca="false">0.32/1.19</f>
        <v>0.26890756302521</v>
      </c>
      <c r="J106" s="23" t="n">
        <f aca="false">I106*A106</f>
        <v>0.26890756302521</v>
      </c>
    </row>
    <row r="107" customFormat="false" ht="13.8" hidden="false" customHeight="false" outlineLevel="0" collapsed="false">
      <c r="A107" s="17" t="n">
        <v>1</v>
      </c>
      <c r="B107" s="17"/>
      <c r="C107" s="17"/>
      <c r="D107" s="17"/>
      <c r="E107" s="17"/>
      <c r="F107" s="17" t="s">
        <v>220</v>
      </c>
      <c r="G107" s="18" t="s">
        <v>148</v>
      </c>
      <c r="H107" s="18"/>
      <c r="I107" s="23" t="n">
        <f aca="false">1.05/1.19</f>
        <v>0.882352941176471</v>
      </c>
      <c r="J107" s="23" t="n">
        <f aca="false">I107*A107</f>
        <v>0.882352941176471</v>
      </c>
    </row>
    <row r="108" customFormat="false" ht="13.8" hidden="false" customHeight="false" outlineLevel="0" collapsed="false">
      <c r="A108" s="17" t="n">
        <v>1</v>
      </c>
      <c r="B108" s="17"/>
      <c r="C108" s="17"/>
      <c r="D108" s="17"/>
      <c r="E108" s="17"/>
      <c r="F108" s="17" t="s">
        <v>221</v>
      </c>
      <c r="G108" s="18" t="s">
        <v>149</v>
      </c>
      <c r="H108" s="18"/>
      <c r="I108" s="23" t="n">
        <f aca="false">0.99/1.19</f>
        <v>0.831932773109244</v>
      </c>
      <c r="J108" s="23" t="n">
        <f aca="false">I108*A108</f>
        <v>0.831932773109244</v>
      </c>
    </row>
  </sheetData>
  <mergeCells count="2">
    <mergeCell ref="A2:B3"/>
    <mergeCell ref="D2:F4"/>
  </mergeCells>
  <hyperlinks>
    <hyperlink ref="A25" r:id="rId1" display="Click for Instructions on How to Create a BOM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.5" zeroHeight="false" outlineLevelRow="0" outlineLevelCol="0"/>
  <cols>
    <col collapsed="false" customWidth="true" hidden="false" outlineLevel="0" max="1025" min="1" style="0" width="8.69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.5" zeroHeight="false" outlineLevelRow="0" outlineLevelCol="0"/>
  <cols>
    <col collapsed="false" customWidth="true" hidden="false" outlineLevel="0" max="1025" min="1" style="0" width="8.69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LibreOffice/5.3.6.1$Windows_x86 LibreOffice_project/686f202eff87ef707079aeb7f485847613344eb7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2006-09-13T11:21:51Z</dcterms:created>
  <dc:creator/>
  <dc:description/>
  <dc:language>de-DE</dc:language>
  <cp:lastModifiedBy/>
  <dcterms:modified xsi:type="dcterms:W3CDTF">2018-10-19T00:26:44Z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